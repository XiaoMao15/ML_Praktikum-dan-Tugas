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13_ncr:1_{74CA8960-FCD9-4AC5-A4C9-51E0D8332FE7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Latihan 1" sheetId="1" r:id="rId1"/>
    <sheet name="Latihan 2" sheetId="2" r:id="rId2"/>
    <sheet name="Latihan 3" sheetId="3" r:id="rId3"/>
  </sheets>
  <calcPr calcId="191029"/>
</workbook>
</file>

<file path=xl/calcChain.xml><?xml version="1.0" encoding="utf-8"?>
<calcChain xmlns="http://schemas.openxmlformats.org/spreadsheetml/2006/main">
  <c r="C15" i="3" l="1"/>
  <c r="B15" i="3"/>
  <c r="N7" i="3" s="1"/>
  <c r="C14" i="3"/>
  <c r="M8" i="3" s="1"/>
  <c r="B14" i="3"/>
  <c r="M10" i="3" s="1"/>
  <c r="N11" i="3"/>
  <c r="C18" i="2"/>
  <c r="B18" i="2"/>
  <c r="C17" i="2"/>
  <c r="B17" i="2"/>
  <c r="B24" i="2" s="1"/>
  <c r="E9" i="1"/>
  <c r="D9" i="1"/>
  <c r="D8" i="1"/>
  <c r="D7" i="1"/>
  <c r="E7" i="1" s="1"/>
  <c r="D6" i="1"/>
  <c r="E6" i="1" s="1"/>
  <c r="D5" i="1"/>
  <c r="E5" i="1" s="1"/>
  <c r="D4" i="1"/>
  <c r="E8" i="1" s="1"/>
  <c r="E3" i="1"/>
  <c r="D3" i="1"/>
  <c r="D2" i="1"/>
  <c r="N4" i="3" l="1"/>
  <c r="N8" i="3"/>
  <c r="B22" i="2"/>
  <c r="M5" i="3"/>
  <c r="M9" i="3"/>
  <c r="B23" i="2"/>
  <c r="N5" i="3"/>
  <c r="N9" i="3"/>
  <c r="M2" i="3"/>
  <c r="O2" i="3" s="1"/>
  <c r="M6" i="3"/>
  <c r="O6" i="3" s="1"/>
  <c r="N2" i="3"/>
  <c r="N6" i="3"/>
  <c r="N10" i="3"/>
  <c r="N3" i="3"/>
  <c r="E4" i="1"/>
  <c r="E2" i="1"/>
  <c r="M3" i="3"/>
  <c r="M7" i="3"/>
  <c r="M11" i="3"/>
  <c r="O11" i="3" s="1"/>
  <c r="M4" i="3"/>
  <c r="O4" i="3" s="1"/>
  <c r="O7" i="3" l="1"/>
  <c r="O3" i="3"/>
  <c r="O9" i="3"/>
  <c r="O5" i="3"/>
  <c r="O8" i="3"/>
  <c r="O10" i="3"/>
</calcChain>
</file>

<file path=xl/sharedStrings.xml><?xml version="1.0" encoding="utf-8"?>
<sst xmlns="http://schemas.openxmlformats.org/spreadsheetml/2006/main" count="164" uniqueCount="106">
  <si>
    <t xml:space="preserve">Temperatur </t>
  </si>
  <si>
    <t>Kecepatan Angin ($\text{km/jam}$)</t>
  </si>
  <si>
    <t>Klasifikasi</t>
  </si>
  <si>
    <t>Jarak Euclid</t>
  </si>
  <si>
    <t>Rank</t>
  </si>
  <si>
    <t>Data Uji</t>
  </si>
  <si>
    <t xml:space="preserve">udara </t>
  </si>
  <si>
    <t>kecepatan</t>
  </si>
  <si>
    <t>Dingin</t>
  </si>
  <si>
    <t>Panas</t>
  </si>
  <si>
    <t>hasil k neighbour</t>
  </si>
  <si>
    <t>dingin</t>
  </si>
  <si>
    <t>Nim</t>
  </si>
  <si>
    <t>Hasil Sebenarnya (Actual)</t>
  </si>
  <si>
    <t>Hasil Prediksi (Predicted)</t>
  </si>
  <si>
    <t>TI001</t>
  </si>
  <si>
    <t>Lulus</t>
  </si>
  <si>
    <t>TI002</t>
  </si>
  <si>
    <t>TI003</t>
  </si>
  <si>
    <t>TI004</t>
  </si>
  <si>
    <t>Tidak Lulus</t>
  </si>
  <si>
    <t>TI005</t>
  </si>
  <si>
    <t>TI006</t>
  </si>
  <si>
    <t>TI007</t>
  </si>
  <si>
    <t>TI008</t>
  </si>
  <si>
    <t>TI009</t>
  </si>
  <si>
    <t>TI010</t>
  </si>
  <si>
    <t>Total</t>
  </si>
  <si>
    <t>Confusion Matrix</t>
  </si>
  <si>
    <t>Predicted: Lulus (Positif)</t>
  </si>
  <si>
    <t>Predicted: Tidak Lulus (Negatif)</t>
  </si>
  <si>
    <t>Total Sebenarnya</t>
  </si>
  <si>
    <t>Actual: Lulus (Positif)</t>
  </si>
  <si>
    <t>Actual: Tidak Lulus (Negatif)</t>
  </si>
  <si>
    <t>Total Prediksi</t>
  </si>
  <si>
    <t xml:space="preserve">Total </t>
  </si>
  <si>
    <t>Metrik</t>
  </si>
  <si>
    <t>hasil</t>
  </si>
  <si>
    <t>Hasil Persentase</t>
  </si>
  <si>
    <t>Accuracy</t>
  </si>
  <si>
    <t>Precision</t>
  </si>
  <si>
    <t>Recall</t>
  </si>
  <si>
    <t>Temperature</t>
  </si>
  <si>
    <t>Humidity</t>
  </si>
  <si>
    <t>Wind Speed</t>
  </si>
  <si>
    <t>Precipitation (%)</t>
  </si>
  <si>
    <t>Cloud Cover</t>
  </si>
  <si>
    <t>Atmospheric Pressure</t>
  </si>
  <si>
    <t>UV Index</t>
  </si>
  <si>
    <t>Season</t>
  </si>
  <si>
    <t>Visibility (km)</t>
  </si>
  <si>
    <t>Location</t>
  </si>
  <si>
    <t>Weather Type</t>
  </si>
  <si>
    <t>nomalisasi temperature</t>
  </si>
  <si>
    <t>normalisasi humidity</t>
  </si>
  <si>
    <t>jarak temperatur</t>
  </si>
  <si>
    <t>82.0</t>
  </si>
  <si>
    <t>partly cloudy</t>
  </si>
  <si>
    <t>1010.82</t>
  </si>
  <si>
    <t>Winter</t>
  </si>
  <si>
    <t>inland</t>
  </si>
  <si>
    <t>Rainy</t>
  </si>
  <si>
    <t>71.0</t>
  </si>
  <si>
    <t>1011.43</t>
  </si>
  <si>
    <t>Spring</t>
  </si>
  <si>
    <t>10.0</t>
  </si>
  <si>
    <t>Cloudy</t>
  </si>
  <si>
    <t>7.0</t>
  </si>
  <si>
    <t>16.0</t>
  </si>
  <si>
    <t>clear</t>
  </si>
  <si>
    <t>1018.72</t>
  </si>
  <si>
    <t>mountain</t>
  </si>
  <si>
    <t>Sunny</t>
  </si>
  <si>
    <t>1026.25</t>
  </si>
  <si>
    <t>1.0</t>
  </si>
  <si>
    <t>coastal</t>
  </si>
  <si>
    <t>17.0</t>
  </si>
  <si>
    <t>66.0</t>
  </si>
  <si>
    <t>overcast</t>
  </si>
  <si>
    <t>990.67</t>
  </si>
  <si>
    <t>26.0</t>
  </si>
  <si>
    <t>1010.03</t>
  </si>
  <si>
    <t>Summer</t>
  </si>
  <si>
    <t>5.0</t>
  </si>
  <si>
    <t>8.0</t>
  </si>
  <si>
    <t>86.0</t>
  </si>
  <si>
    <t>990.87</t>
  </si>
  <si>
    <t>4.0</t>
  </si>
  <si>
    <t>Snowy</t>
  </si>
  <si>
    <t>6.0</t>
  </si>
  <si>
    <t>96.0</t>
  </si>
  <si>
    <t>984.46</t>
  </si>
  <si>
    <t>999.44</t>
  </si>
  <si>
    <t>107.0</t>
  </si>
  <si>
    <t>1012.13</t>
  </si>
  <si>
    <t>Kolom (Fitur)</t>
  </si>
  <si>
    <t>Baris 13 (Min)</t>
  </si>
  <si>
    <t>Baris 14 (Max)</t>
  </si>
  <si>
    <t>B (Temperature)</t>
  </si>
  <si>
    <t>C (Humidity)</t>
  </si>
  <si>
    <t>K = 3</t>
  </si>
  <si>
    <t>Urutan</t>
  </si>
  <si>
    <t>Jarak</t>
  </si>
  <si>
    <t>Weather Type (K)</t>
  </si>
  <si>
    <t>1 (Terdekat)</t>
  </si>
  <si>
    <t>hasil voting = 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</si>
</sst>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yyyy\.mm"/>
  </numFmts>
  <fonts count="7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1F1F1F"/>
      <name val="Google Sans Text"/>
    </font>
    <font>
      <b/>
      <sz val="10"/>
      <color rgb="FF1F1F1F"/>
      <name val="Google Sans Text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00FFFF"/>
      </patternFill>
    </fill>
    <fill>
      <patternFill patternType="solid">
        <fgColor theme="2" tint="-0.14999847407452621"/>
        <bgColor rgb="FFFF3220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5" tint="0.39997558519241921"/>
        <bgColor rgb="FF4A86E8"/>
      </patternFill>
    </fill>
    <fill>
      <patternFill patternType="solid">
        <fgColor theme="4" tint="0.39997558519241921"/>
        <bgColor rgb="FF00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3" fillId="3" borderId="0" xfId="0" applyFont="1" applyFill="1"/>
    <xf numFmtId="0" fontId="3" fillId="0" borderId="0" xfId="0" applyFont="1"/>
    <xf numFmtId="0" fontId="2" fillId="0" borderId="1" xfId="0" applyFont="1" applyBorder="1"/>
    <xf numFmtId="0" fontId="3" fillId="3" borderId="1" xfId="0" applyFont="1" applyFill="1" applyBorder="1"/>
    <xf numFmtId="0" fontId="3" fillId="0" borderId="1" xfId="0" applyFont="1" applyBorder="1"/>
    <xf numFmtId="0" fontId="3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9" fontId="3" fillId="0" borderId="0" xfId="0" applyNumberFormat="1" applyFont="1" applyAlignment="1">
      <alignment horizontal="right"/>
    </xf>
    <xf numFmtId="0" fontId="4" fillId="0" borderId="0" xfId="0" applyFont="1"/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2" xfId="0" applyFont="1" applyFill="1" applyBorder="1"/>
    <xf numFmtId="0" fontId="2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"/>
  <sheetViews>
    <sheetView workbookViewId="0"/>
  </sheetViews>
  <sheetFormatPr defaultColWidth="12.6640625" defaultRowHeight="15.75" customHeight="1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10</v>
      </c>
      <c r="B2" s="2">
        <v>0</v>
      </c>
      <c r="C2" s="2" t="s">
        <v>8</v>
      </c>
      <c r="D2" s="2">
        <f t="shared" ref="D2:D9" si="0">SQRT((A2-$G$2)^2 + (B2-$H$2)^2)</f>
        <v>6.7082039324993694</v>
      </c>
      <c r="E2" s="3">
        <f t="shared" ref="E2:E9" si="1">_xlfn.RANK.EQ(D2, D$2:D$9, 1)</f>
        <v>5</v>
      </c>
      <c r="F2" s="2"/>
      <c r="G2" s="2">
        <v>16</v>
      </c>
      <c r="H2" s="2">
        <v>3</v>
      </c>
    </row>
    <row r="3" spans="1:8">
      <c r="A3" s="2">
        <v>25</v>
      </c>
      <c r="B3" s="2">
        <v>0</v>
      </c>
      <c r="C3" s="2" t="s">
        <v>9</v>
      </c>
      <c r="D3" s="2">
        <f t="shared" si="0"/>
        <v>9.4868329805051381</v>
      </c>
      <c r="E3" s="3">
        <f t="shared" si="1"/>
        <v>8</v>
      </c>
      <c r="F3" s="2"/>
      <c r="G3" s="2"/>
      <c r="H3" s="2"/>
    </row>
    <row r="4" spans="1:8">
      <c r="A4" s="2">
        <v>15</v>
      </c>
      <c r="B4" s="2">
        <v>5</v>
      </c>
      <c r="C4" s="2" t="s">
        <v>8</v>
      </c>
      <c r="D4" s="2">
        <f t="shared" si="0"/>
        <v>2.2360679774997898</v>
      </c>
      <c r="E4" s="3">
        <f t="shared" si="1"/>
        <v>1</v>
      </c>
      <c r="F4" s="2"/>
      <c r="G4" s="2" t="s">
        <v>10</v>
      </c>
      <c r="H4" s="2">
        <v>3</v>
      </c>
    </row>
    <row r="5" spans="1:8">
      <c r="A5" s="2">
        <v>20</v>
      </c>
      <c r="B5" s="2">
        <v>3</v>
      </c>
      <c r="C5" s="2" t="s">
        <v>9</v>
      </c>
      <c r="D5" s="2">
        <f t="shared" si="0"/>
        <v>4</v>
      </c>
      <c r="E5" s="3">
        <f t="shared" si="1"/>
        <v>2</v>
      </c>
      <c r="F5" s="2"/>
      <c r="G5" s="2"/>
      <c r="H5" s="2" t="s">
        <v>11</v>
      </c>
    </row>
    <row r="6" spans="1:8">
      <c r="A6" s="2">
        <v>18</v>
      </c>
      <c r="B6" s="2">
        <v>7</v>
      </c>
      <c r="C6" s="2" t="s">
        <v>8</v>
      </c>
      <c r="D6" s="2">
        <f t="shared" si="0"/>
        <v>4.4721359549995796</v>
      </c>
      <c r="E6" s="3">
        <f t="shared" si="1"/>
        <v>3</v>
      </c>
      <c r="F6" s="2"/>
      <c r="G6" s="2"/>
      <c r="H6" s="2"/>
    </row>
    <row r="7" spans="1:8">
      <c r="A7" s="2">
        <v>20</v>
      </c>
      <c r="B7" s="2">
        <v>10</v>
      </c>
      <c r="C7" s="2" t="s">
        <v>8</v>
      </c>
      <c r="D7" s="2">
        <f t="shared" si="0"/>
        <v>8.0622577482985491</v>
      </c>
      <c r="E7" s="3">
        <f t="shared" si="1"/>
        <v>6</v>
      </c>
      <c r="F7" s="2"/>
      <c r="G7" s="2"/>
      <c r="H7" s="2"/>
    </row>
    <row r="8" spans="1:8">
      <c r="A8" s="2">
        <v>22</v>
      </c>
      <c r="B8" s="2">
        <v>5</v>
      </c>
      <c r="C8" s="2" t="s">
        <v>9</v>
      </c>
      <c r="D8" s="2">
        <f t="shared" si="0"/>
        <v>6.324555320336759</v>
      </c>
      <c r="E8" s="3">
        <f t="shared" si="1"/>
        <v>4</v>
      </c>
      <c r="F8" s="2"/>
      <c r="G8" s="2"/>
      <c r="H8" s="2"/>
    </row>
    <row r="9" spans="1:8">
      <c r="A9" s="2">
        <v>24</v>
      </c>
      <c r="B9" s="2">
        <v>6</v>
      </c>
      <c r="C9" s="2" t="s">
        <v>9</v>
      </c>
      <c r="D9" s="2">
        <f t="shared" si="0"/>
        <v>8.5440037453175304</v>
      </c>
      <c r="E9" s="3">
        <f t="shared" si="1"/>
        <v>7</v>
      </c>
      <c r="F9" s="2"/>
      <c r="G9" s="2"/>
      <c r="H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4"/>
  <sheetViews>
    <sheetView tabSelected="1" workbookViewId="0">
      <selection activeCell="G24" sqref="G24"/>
    </sheetView>
  </sheetViews>
  <sheetFormatPr defaultColWidth="12.6640625" defaultRowHeight="15.75" customHeight="1"/>
  <cols>
    <col min="1" max="1" width="23.109375" customWidth="1"/>
    <col min="2" max="2" width="21.77734375" customWidth="1"/>
    <col min="3" max="3" width="28" customWidth="1"/>
    <col min="4" max="4" width="18.88671875" customWidth="1"/>
    <col min="6" max="6" width="21.33203125" customWidth="1"/>
    <col min="8" max="8" width="17.21875" customWidth="1"/>
    <col min="9" max="9" width="14.44140625" customWidth="1"/>
  </cols>
  <sheetData>
    <row r="1" spans="1:10">
      <c r="A1" s="27" t="s">
        <v>12</v>
      </c>
      <c r="B1" s="27" t="s">
        <v>13</v>
      </c>
      <c r="C1" s="27" t="s">
        <v>14</v>
      </c>
      <c r="D1" s="4"/>
      <c r="E1" s="5"/>
      <c r="F1" s="5"/>
      <c r="G1" s="5"/>
      <c r="J1" s="5"/>
    </row>
    <row r="2" spans="1:10">
      <c r="A2" s="6" t="s">
        <v>15</v>
      </c>
      <c r="B2" s="6" t="s">
        <v>16</v>
      </c>
      <c r="C2" s="6" t="s">
        <v>16</v>
      </c>
      <c r="D2" s="4"/>
      <c r="E2" s="5"/>
      <c r="F2" s="5"/>
      <c r="G2" s="5"/>
      <c r="J2" s="5"/>
    </row>
    <row r="3" spans="1:10">
      <c r="A3" s="6" t="s">
        <v>17</v>
      </c>
      <c r="B3" s="6" t="s">
        <v>16</v>
      </c>
      <c r="C3" s="6" t="s">
        <v>16</v>
      </c>
      <c r="D3" s="4"/>
      <c r="E3" s="5"/>
      <c r="F3" s="5"/>
      <c r="G3" s="5"/>
      <c r="J3" s="5"/>
    </row>
    <row r="4" spans="1:10">
      <c r="A4" s="6" t="s">
        <v>18</v>
      </c>
      <c r="B4" s="6" t="s">
        <v>16</v>
      </c>
      <c r="C4" s="6" t="s">
        <v>16</v>
      </c>
      <c r="D4" s="4"/>
      <c r="E4" s="5"/>
      <c r="F4" s="5"/>
      <c r="G4" s="5"/>
      <c r="J4" s="5"/>
    </row>
    <row r="5" spans="1:10">
      <c r="A5" s="6" t="s">
        <v>19</v>
      </c>
      <c r="B5" s="6" t="s">
        <v>16</v>
      </c>
      <c r="C5" s="6" t="s">
        <v>20</v>
      </c>
      <c r="D5" s="4"/>
      <c r="E5" s="5"/>
      <c r="F5" s="5"/>
      <c r="G5" s="5"/>
      <c r="J5" s="5"/>
    </row>
    <row r="6" spans="1:10">
      <c r="A6" s="6" t="s">
        <v>21</v>
      </c>
      <c r="B6" s="6" t="s">
        <v>16</v>
      </c>
      <c r="C6" s="6" t="s">
        <v>20</v>
      </c>
      <c r="D6" s="4"/>
      <c r="E6" s="5"/>
      <c r="F6" s="5"/>
      <c r="G6" s="5"/>
      <c r="J6" s="5"/>
    </row>
    <row r="7" spans="1:10">
      <c r="A7" s="6" t="s">
        <v>22</v>
      </c>
      <c r="B7" s="6" t="s">
        <v>20</v>
      </c>
      <c r="C7" s="6" t="s">
        <v>16</v>
      </c>
      <c r="D7" s="4"/>
      <c r="E7" s="5"/>
      <c r="F7" s="5"/>
      <c r="G7" s="5"/>
      <c r="J7" s="5"/>
    </row>
    <row r="8" spans="1:10">
      <c r="A8" s="6" t="s">
        <v>23</v>
      </c>
      <c r="B8" s="6" t="s">
        <v>20</v>
      </c>
      <c r="C8" s="6" t="s">
        <v>20</v>
      </c>
      <c r="D8" s="4"/>
      <c r="E8" s="5"/>
      <c r="F8" s="5"/>
      <c r="G8" s="5"/>
      <c r="J8" s="5"/>
    </row>
    <row r="9" spans="1:10">
      <c r="A9" s="6" t="s">
        <v>24</v>
      </c>
      <c r="B9" s="6" t="s">
        <v>20</v>
      </c>
      <c r="C9" s="6" t="s">
        <v>20</v>
      </c>
      <c r="D9" s="4"/>
      <c r="E9" s="5"/>
      <c r="F9" s="5"/>
      <c r="G9" s="5"/>
      <c r="J9" s="5"/>
    </row>
    <row r="10" spans="1:10">
      <c r="A10" s="6" t="s">
        <v>25</v>
      </c>
      <c r="B10" s="6" t="s">
        <v>20</v>
      </c>
      <c r="C10" s="6" t="s">
        <v>20</v>
      </c>
      <c r="D10" s="4"/>
      <c r="E10" s="5"/>
      <c r="F10" s="5"/>
      <c r="G10" s="5"/>
      <c r="J10" s="5"/>
    </row>
    <row r="11" spans="1:10">
      <c r="A11" s="6" t="s">
        <v>26</v>
      </c>
      <c r="B11" s="6" t="s">
        <v>20</v>
      </c>
      <c r="C11" s="6" t="s">
        <v>20</v>
      </c>
      <c r="D11" s="4"/>
      <c r="E11" s="5"/>
      <c r="F11" s="5"/>
      <c r="G11" s="5"/>
      <c r="J11" s="5"/>
    </row>
    <row r="12" spans="1:10">
      <c r="A12" s="3" t="s">
        <v>27</v>
      </c>
      <c r="B12" s="3">
        <v>10</v>
      </c>
      <c r="C12" s="3">
        <v>10</v>
      </c>
      <c r="D12" s="4"/>
      <c r="E12" s="5"/>
      <c r="F12" s="5"/>
      <c r="G12" s="5"/>
      <c r="J12" s="5"/>
    </row>
    <row r="13" spans="1:10">
      <c r="A13" s="4"/>
      <c r="B13" s="4"/>
      <c r="C13" s="4"/>
      <c r="D13" s="4"/>
      <c r="E13" s="5"/>
      <c r="F13" s="5"/>
      <c r="G13" s="5"/>
      <c r="J13" s="5"/>
    </row>
    <row r="14" spans="1:10">
      <c r="B14" s="4" t="s">
        <v>28</v>
      </c>
      <c r="C14" s="4"/>
      <c r="D14" s="4"/>
      <c r="E14" s="5"/>
      <c r="F14" s="5"/>
      <c r="G14" s="5"/>
      <c r="J14" s="5"/>
    </row>
    <row r="15" spans="1:10">
      <c r="A15" s="4"/>
      <c r="B15" s="4"/>
      <c r="C15" s="4"/>
      <c r="D15" s="4"/>
      <c r="E15" s="5"/>
      <c r="F15" s="5"/>
      <c r="G15" s="5"/>
      <c r="J15" s="5"/>
    </row>
    <row r="16" spans="1:10">
      <c r="A16" s="7"/>
      <c r="B16" s="24" t="s">
        <v>29</v>
      </c>
      <c r="C16" s="25" t="s">
        <v>30</v>
      </c>
      <c r="D16" s="26" t="s">
        <v>31</v>
      </c>
      <c r="E16" s="5"/>
      <c r="F16" s="5"/>
      <c r="G16" s="5"/>
      <c r="J16" s="5"/>
    </row>
    <row r="17" spans="1:9">
      <c r="A17" s="23" t="s">
        <v>32</v>
      </c>
      <c r="B17" s="8">
        <f>COUNTIFS(B2:B11,"Lulus",C2:C11,"Lulus")</f>
        <v>3</v>
      </c>
      <c r="C17" s="8">
        <f>COUNTIFS(B2:B11, "Lulus", C2:C11, "Tidak Lulus")</f>
        <v>2</v>
      </c>
      <c r="D17" s="9">
        <v>5</v>
      </c>
      <c r="E17" s="5"/>
      <c r="F17" s="5"/>
      <c r="G17" s="5"/>
      <c r="H17" s="10"/>
      <c r="I17" s="5"/>
    </row>
    <row r="18" spans="1:9">
      <c r="A18" s="23" t="s">
        <v>33</v>
      </c>
      <c r="B18" s="8">
        <f>COUNTIFS(B2:B11, "Tidak Lulus", C2:C11, "Lulus")</f>
        <v>1</v>
      </c>
      <c r="C18" s="8">
        <f>COUNTIFS(B2:B11,"Tidak Lulus", C2:C11,"Tidak Lulus")</f>
        <v>4</v>
      </c>
      <c r="D18" s="9">
        <v>5</v>
      </c>
      <c r="E18" s="5"/>
      <c r="F18" s="5"/>
      <c r="G18" s="5"/>
      <c r="H18" s="10"/>
      <c r="I18" s="5"/>
    </row>
    <row r="19" spans="1:9">
      <c r="A19" s="23" t="s">
        <v>34</v>
      </c>
      <c r="B19" s="11">
        <v>4</v>
      </c>
      <c r="C19" s="11">
        <v>6</v>
      </c>
      <c r="D19" s="8" t="s">
        <v>35</v>
      </c>
      <c r="E19" s="8">
        <v>10</v>
      </c>
      <c r="F19" s="10"/>
      <c r="G19" s="10"/>
      <c r="H19" s="10"/>
      <c r="I19" s="5"/>
    </row>
    <row r="21" spans="1:9">
      <c r="A21" s="5" t="s">
        <v>36</v>
      </c>
      <c r="B21" s="5" t="s">
        <v>37</v>
      </c>
      <c r="C21" s="5" t="s">
        <v>38</v>
      </c>
      <c r="D21" s="5"/>
    </row>
    <row r="22" spans="1:9">
      <c r="A22" s="5" t="s">
        <v>39</v>
      </c>
      <c r="B22" s="5">
        <f>(B17+C18)/E19</f>
        <v>0.7</v>
      </c>
      <c r="C22" s="12">
        <v>0.7</v>
      </c>
      <c r="D22" s="5"/>
    </row>
    <row r="23" spans="1:9">
      <c r="A23" s="5" t="s">
        <v>40</v>
      </c>
      <c r="B23" s="5">
        <f>B17/(B17+B18)</f>
        <v>0.75</v>
      </c>
      <c r="C23" s="12">
        <v>0.75</v>
      </c>
      <c r="D23" s="5"/>
    </row>
    <row r="24" spans="1:9">
      <c r="A24" s="5" t="s">
        <v>41</v>
      </c>
      <c r="B24" s="5">
        <f>B17/(B17+C17)</f>
        <v>0.6</v>
      </c>
      <c r="C24" s="12">
        <v>0.6</v>
      </c>
      <c r="D2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23"/>
  <sheetViews>
    <sheetView workbookViewId="0"/>
  </sheetViews>
  <sheetFormatPr defaultColWidth="12.6640625" defaultRowHeight="15.75" customHeight="1"/>
  <cols>
    <col min="2" max="2" width="16.6640625" customWidth="1"/>
    <col min="13" max="14" width="19.77734375" customWidth="1"/>
  </cols>
  <sheetData>
    <row r="1" spans="1:15">
      <c r="A1" s="8"/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  <c r="L1" s="8" t="s">
        <v>52</v>
      </c>
      <c r="M1" s="13" t="s">
        <v>53</v>
      </c>
      <c r="N1" s="13" t="s">
        <v>54</v>
      </c>
      <c r="O1" s="13" t="s">
        <v>55</v>
      </c>
    </row>
    <row r="2" spans="1:15">
      <c r="A2" s="11">
        <v>0</v>
      </c>
      <c r="B2" s="14">
        <v>14</v>
      </c>
      <c r="C2" s="11">
        <v>73</v>
      </c>
      <c r="D2" s="15">
        <v>45786</v>
      </c>
      <c r="E2" s="8" t="s">
        <v>56</v>
      </c>
      <c r="F2" s="8" t="s">
        <v>57</v>
      </c>
      <c r="G2" s="11" t="s">
        <v>58</v>
      </c>
      <c r="H2" s="11">
        <v>2</v>
      </c>
      <c r="I2" s="8" t="s">
        <v>59</v>
      </c>
      <c r="J2" s="15">
        <v>45780</v>
      </c>
      <c r="K2" s="8" t="s">
        <v>60</v>
      </c>
      <c r="L2" s="8" t="s">
        <v>61</v>
      </c>
      <c r="M2" s="13">
        <f t="shared" ref="M2:M11" si="0">(B2 - B$14) / (C$14 - B$14)</f>
        <v>0.3902439024390244</v>
      </c>
      <c r="N2" s="13">
        <f t="shared" ref="N2:N11" si="1">(C2 - B$15) / (C$15 - B$15)</f>
        <v>0.42857142857142855</v>
      </c>
      <c r="O2" s="13">
        <f t="shared" ref="O2:O11" si="2">SQRT( (M2-M$11)^2 + (N2-N$11)^2 )</f>
        <v>0.34229250204707551</v>
      </c>
    </row>
    <row r="3" spans="1:15">
      <c r="A3" s="11">
        <v>1</v>
      </c>
      <c r="B3" s="14">
        <v>39</v>
      </c>
      <c r="C3" s="11">
        <v>96</v>
      </c>
      <c r="D3" s="15">
        <v>45785</v>
      </c>
      <c r="E3" s="8" t="s">
        <v>62</v>
      </c>
      <c r="F3" s="8" t="s">
        <v>57</v>
      </c>
      <c r="G3" s="11" t="s">
        <v>63</v>
      </c>
      <c r="H3" s="11">
        <v>7</v>
      </c>
      <c r="I3" s="8" t="s">
        <v>64</v>
      </c>
      <c r="J3" s="11" t="s">
        <v>65</v>
      </c>
      <c r="K3" s="8" t="s">
        <v>60</v>
      </c>
      <c r="L3" s="8" t="s">
        <v>66</v>
      </c>
      <c r="M3" s="13">
        <f t="shared" si="0"/>
        <v>1</v>
      </c>
      <c r="N3" s="13">
        <f t="shared" si="1"/>
        <v>0.97619047619047616</v>
      </c>
      <c r="O3" s="13">
        <f t="shared" si="2"/>
        <v>0.58852135130820549</v>
      </c>
    </row>
    <row r="4" spans="1:15">
      <c r="A4" s="11">
        <v>2</v>
      </c>
      <c r="B4" s="14">
        <v>30</v>
      </c>
      <c r="C4" s="11">
        <v>64</v>
      </c>
      <c r="D4" s="11" t="s">
        <v>67</v>
      </c>
      <c r="E4" s="8" t="s">
        <v>68</v>
      </c>
      <c r="F4" s="8" t="s">
        <v>69</v>
      </c>
      <c r="G4" s="11" t="s">
        <v>70</v>
      </c>
      <c r="H4" s="11">
        <v>5</v>
      </c>
      <c r="I4" s="8" t="s">
        <v>64</v>
      </c>
      <c r="J4" s="15">
        <v>45782</v>
      </c>
      <c r="K4" s="8" t="s">
        <v>71</v>
      </c>
      <c r="L4" s="8" t="s">
        <v>72</v>
      </c>
      <c r="M4" s="13">
        <f t="shared" si="0"/>
        <v>0.78048780487804881</v>
      </c>
      <c r="N4" s="13">
        <f t="shared" si="1"/>
        <v>0.21428571428571427</v>
      </c>
      <c r="O4" s="13">
        <f t="shared" si="2"/>
        <v>0.24304089860373293</v>
      </c>
    </row>
    <row r="5" spans="1:15">
      <c r="A5" s="11">
        <v>3</v>
      </c>
      <c r="B5" s="14">
        <v>38</v>
      </c>
      <c r="C5" s="11">
        <v>83</v>
      </c>
      <c r="D5" s="15">
        <v>45778</v>
      </c>
      <c r="E5" s="8" t="s">
        <v>56</v>
      </c>
      <c r="F5" s="8" t="s">
        <v>69</v>
      </c>
      <c r="G5" s="11" t="s">
        <v>73</v>
      </c>
      <c r="H5" s="11">
        <v>7</v>
      </c>
      <c r="I5" s="8" t="s">
        <v>64</v>
      </c>
      <c r="J5" s="11" t="s">
        <v>74</v>
      </c>
      <c r="K5" s="8" t="s">
        <v>75</v>
      </c>
      <c r="L5" s="8" t="s">
        <v>72</v>
      </c>
      <c r="M5" s="13">
        <f t="shared" si="0"/>
        <v>0.97560975609756095</v>
      </c>
      <c r="N5" s="13">
        <f t="shared" si="1"/>
        <v>0.66666666666666663</v>
      </c>
      <c r="O5" s="13">
        <f t="shared" si="2"/>
        <v>0.32466408349089854</v>
      </c>
    </row>
    <row r="6" spans="1:15">
      <c r="A6" s="11">
        <v>4</v>
      </c>
      <c r="B6" s="14">
        <v>27</v>
      </c>
      <c r="C6" s="11">
        <v>74</v>
      </c>
      <c r="D6" s="11" t="s">
        <v>76</v>
      </c>
      <c r="E6" s="8" t="s">
        <v>77</v>
      </c>
      <c r="F6" s="8" t="s">
        <v>78</v>
      </c>
      <c r="G6" s="11" t="s">
        <v>79</v>
      </c>
      <c r="H6" s="11">
        <v>1</v>
      </c>
      <c r="I6" s="8" t="s">
        <v>59</v>
      </c>
      <c r="J6" s="15">
        <v>45779</v>
      </c>
      <c r="K6" s="8" t="s">
        <v>71</v>
      </c>
      <c r="L6" s="8" t="s">
        <v>61</v>
      </c>
      <c r="M6" s="13">
        <f t="shared" si="0"/>
        <v>0.70731707317073167</v>
      </c>
      <c r="N6" s="13">
        <f t="shared" si="1"/>
        <v>0.45238095238095238</v>
      </c>
      <c r="O6" s="13">
        <f t="shared" si="2"/>
        <v>2.4390243902439046E-2</v>
      </c>
    </row>
    <row r="7" spans="1:15">
      <c r="A7" s="11">
        <v>5</v>
      </c>
      <c r="B7" s="14">
        <v>32</v>
      </c>
      <c r="C7" s="11">
        <v>55</v>
      </c>
      <c r="D7" s="15">
        <v>45780</v>
      </c>
      <c r="E7" s="8" t="s">
        <v>80</v>
      </c>
      <c r="F7" s="8" t="s">
        <v>78</v>
      </c>
      <c r="G7" s="16" t="s">
        <v>81</v>
      </c>
      <c r="H7" s="11">
        <v>2</v>
      </c>
      <c r="I7" s="8" t="s">
        <v>82</v>
      </c>
      <c r="J7" s="11" t="s">
        <v>83</v>
      </c>
      <c r="K7" s="8" t="s">
        <v>60</v>
      </c>
      <c r="L7" s="8" t="s">
        <v>66</v>
      </c>
      <c r="M7" s="13">
        <f t="shared" si="0"/>
        <v>0.82926829268292679</v>
      </c>
      <c r="N7" s="13">
        <f t="shared" si="1"/>
        <v>0</v>
      </c>
      <c r="O7" s="13">
        <f t="shared" si="2"/>
        <v>0.46278144954073619</v>
      </c>
    </row>
    <row r="8" spans="1:15">
      <c r="A8" s="11">
        <v>6</v>
      </c>
      <c r="B8" s="14">
        <v>-2</v>
      </c>
      <c r="C8" s="11">
        <v>97</v>
      </c>
      <c r="D8" s="11" t="s">
        <v>84</v>
      </c>
      <c r="E8" s="8" t="s">
        <v>85</v>
      </c>
      <c r="F8" s="8" t="s">
        <v>78</v>
      </c>
      <c r="G8" s="11" t="s">
        <v>86</v>
      </c>
      <c r="H8" s="11">
        <v>1</v>
      </c>
      <c r="I8" s="8" t="s">
        <v>59</v>
      </c>
      <c r="J8" s="11" t="s">
        <v>87</v>
      </c>
      <c r="K8" s="8" t="s">
        <v>60</v>
      </c>
      <c r="L8" s="8" t="s">
        <v>88</v>
      </c>
      <c r="M8" s="13">
        <f t="shared" si="0"/>
        <v>0</v>
      </c>
      <c r="N8" s="13">
        <f t="shared" si="1"/>
        <v>1</v>
      </c>
      <c r="O8" s="13">
        <f t="shared" si="2"/>
        <v>0.91393775453999626</v>
      </c>
    </row>
    <row r="9" spans="1:15">
      <c r="A9" s="11">
        <v>7</v>
      </c>
      <c r="B9" s="14">
        <v>3</v>
      </c>
      <c r="C9" s="11">
        <v>85</v>
      </c>
      <c r="D9" s="11" t="s">
        <v>89</v>
      </c>
      <c r="E9" s="8" t="s">
        <v>90</v>
      </c>
      <c r="F9" s="8" t="s">
        <v>57</v>
      </c>
      <c r="G9" s="11" t="s">
        <v>91</v>
      </c>
      <c r="H9" s="11">
        <v>1</v>
      </c>
      <c r="I9" s="8" t="s">
        <v>59</v>
      </c>
      <c r="J9" s="15">
        <v>45780</v>
      </c>
      <c r="K9" s="8" t="s">
        <v>60</v>
      </c>
      <c r="L9" s="8" t="s">
        <v>88</v>
      </c>
      <c r="M9" s="13">
        <f t="shared" si="0"/>
        <v>0.12195121951219512</v>
      </c>
      <c r="N9" s="13">
        <f t="shared" si="1"/>
        <v>0.7142857142857143</v>
      </c>
      <c r="O9" s="13">
        <f t="shared" si="2"/>
        <v>0.66362384135983243</v>
      </c>
    </row>
    <row r="10" spans="1:15">
      <c r="A10" s="11">
        <v>8</v>
      </c>
      <c r="B10" s="14">
        <v>3</v>
      </c>
      <c r="C10" s="11">
        <v>83</v>
      </c>
      <c r="D10" s="11" t="s">
        <v>89</v>
      </c>
      <c r="E10" s="8" t="s">
        <v>77</v>
      </c>
      <c r="F10" s="8" t="s">
        <v>78</v>
      </c>
      <c r="G10" s="11" t="s">
        <v>92</v>
      </c>
      <c r="H10" s="11">
        <v>0</v>
      </c>
      <c r="I10" s="8" t="s">
        <v>59</v>
      </c>
      <c r="J10" s="11" t="s">
        <v>74</v>
      </c>
      <c r="K10" s="8" t="s">
        <v>71</v>
      </c>
      <c r="L10" s="8" t="s">
        <v>88</v>
      </c>
      <c r="M10" s="13">
        <f t="shared" si="0"/>
        <v>0.12195121951219512</v>
      </c>
      <c r="N10" s="13">
        <f t="shared" si="1"/>
        <v>0.66666666666666663</v>
      </c>
      <c r="O10" s="13">
        <f t="shared" si="2"/>
        <v>0.64631328770166008</v>
      </c>
    </row>
    <row r="11" spans="1:15">
      <c r="A11" s="11">
        <v>9</v>
      </c>
      <c r="B11" s="14">
        <v>28</v>
      </c>
      <c r="C11" s="11">
        <v>74</v>
      </c>
      <c r="D11" s="15">
        <v>45785</v>
      </c>
      <c r="E11" s="8" t="s">
        <v>93</v>
      </c>
      <c r="F11" s="8" t="s">
        <v>69</v>
      </c>
      <c r="G11" s="11" t="s">
        <v>94</v>
      </c>
      <c r="H11" s="11">
        <v>8</v>
      </c>
      <c r="I11" s="8" t="s">
        <v>59</v>
      </c>
      <c r="J11" s="15">
        <v>45784</v>
      </c>
      <c r="K11" s="8" t="s">
        <v>75</v>
      </c>
      <c r="L11" s="8" t="s">
        <v>72</v>
      </c>
      <c r="M11" s="13">
        <f t="shared" si="0"/>
        <v>0.73170731707317072</v>
      </c>
      <c r="N11" s="13">
        <f t="shared" si="1"/>
        <v>0.45238095238095238</v>
      </c>
      <c r="O11" s="13">
        <f t="shared" si="2"/>
        <v>0</v>
      </c>
    </row>
    <row r="13" spans="1:15">
      <c r="A13" s="5" t="s">
        <v>95</v>
      </c>
      <c r="B13" s="5" t="s">
        <v>96</v>
      </c>
      <c r="C13" s="5" t="s">
        <v>97</v>
      </c>
    </row>
    <row r="14" spans="1:15">
      <c r="A14" s="5" t="s">
        <v>98</v>
      </c>
      <c r="B14" s="17">
        <f>MIN(B2:B11)</f>
        <v>-2</v>
      </c>
      <c r="C14" s="17">
        <f>MAX(B2:B11)</f>
        <v>39</v>
      </c>
    </row>
    <row r="15" spans="1:15">
      <c r="A15" s="5" t="s">
        <v>99</v>
      </c>
      <c r="B15" s="18">
        <f>MIN(C2:C11)</f>
        <v>55</v>
      </c>
      <c r="C15" s="18">
        <f>MAX(C2:C11)</f>
        <v>97</v>
      </c>
    </row>
    <row r="18" spans="1:4">
      <c r="A18" s="13" t="s">
        <v>100</v>
      </c>
      <c r="B18" s="19" t="s">
        <v>101</v>
      </c>
      <c r="C18" s="19" t="s">
        <v>102</v>
      </c>
      <c r="D18" s="19" t="s">
        <v>103</v>
      </c>
    </row>
    <row r="19" spans="1:4">
      <c r="B19" s="20" t="s">
        <v>104</v>
      </c>
      <c r="C19" s="21">
        <v>10.5</v>
      </c>
      <c r="D19" s="20" t="s">
        <v>72</v>
      </c>
    </row>
    <row r="20" spans="1:4">
      <c r="B20" s="22">
        <v>2</v>
      </c>
      <c r="C20" s="21">
        <v>12.1</v>
      </c>
      <c r="D20" s="20" t="s">
        <v>66</v>
      </c>
    </row>
    <row r="21" spans="1:4">
      <c r="B21" s="22">
        <v>3</v>
      </c>
      <c r="C21" s="21">
        <v>13</v>
      </c>
      <c r="D21" s="20" t="s">
        <v>72</v>
      </c>
    </row>
    <row r="23" spans="1:4">
      <c r="B23" s="1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Latihan 1</vt:lpstr>
      <vt:lpstr>Latihan 2</vt:lpstr>
      <vt:lpstr>Latihan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Bintang Gunawan</cp:lastModifiedBy>
  <dcterms:modified xsi:type="dcterms:W3CDTF">2025-11-30T13:54:54Z</dcterms:modified>
</cp:coreProperties>
</file>